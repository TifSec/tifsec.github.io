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eche\Documents\GitHub\tifsec.github.io\MFR\BTS\"/>
    </mc:Choice>
  </mc:AlternateContent>
  <xr:revisionPtr revIDLastSave="0" documentId="13_ncr:1_{55B513A2-6213-4481-9B7F-0B0F3E7F6B85}" xr6:coauthVersionLast="47" xr6:coauthVersionMax="47" xr10:uidLastSave="{00000000-0000-0000-0000-000000000000}"/>
  <bookViews>
    <workbookView xWindow="-28920" yWindow="-120" windowWidth="29040" windowHeight="15720" xr2:uid="{FE49AC41-3E51-4D9E-96B8-4D13CB866D13}"/>
  </bookViews>
  <sheets>
    <sheet name="OAD_Ration_Cheval" sheetId="1" r:id="rId1"/>
    <sheet name="OAD_list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4" i="1"/>
  <c r="B12" i="1"/>
  <c r="B11" i="1"/>
  <c r="B15" i="1" l="1"/>
  <c r="B18" i="1" s="1"/>
</calcChain>
</file>

<file path=xl/sharedStrings.xml><?xml version="1.0" encoding="utf-8"?>
<sst xmlns="http://schemas.openxmlformats.org/spreadsheetml/2006/main" count="39" uniqueCount="35">
  <si>
    <t>Nom du cheval</t>
  </si>
  <si>
    <t>Type de cheval</t>
  </si>
  <si>
    <t>Niveau de travail</t>
  </si>
  <si>
    <t>Note d'état corporel (NEC) (1-5)</t>
  </si>
  <si>
    <t>Évolution récente</t>
  </si>
  <si>
    <t>Score</t>
  </si>
  <si>
    <t>Standard</t>
  </si>
  <si>
    <t>Sensible</t>
  </si>
  <si>
    <t>Travail</t>
  </si>
  <si>
    <t>Repos</t>
  </si>
  <si>
    <t>Léger</t>
  </si>
  <si>
    <t>Modéré</t>
  </si>
  <si>
    <t>Intense</t>
  </si>
  <si>
    <t>NEC</t>
  </si>
  <si>
    <t>1 ou 2 (trop maigre)</t>
  </si>
  <si>
    <t>3 (correct)</t>
  </si>
  <si>
    <t>4 ou 5 (trop gras)</t>
  </si>
  <si>
    <t>Score type cheval</t>
  </si>
  <si>
    <t>Score travail</t>
  </si>
  <si>
    <t>Score NEC</t>
  </si>
  <si>
    <t>Score évolution</t>
  </si>
  <si>
    <t>Score total</t>
  </si>
  <si>
    <t>Seuil "Augmenter"</t>
  </si>
  <si>
    <t>Seuil "Réduire"</t>
  </si>
  <si>
    <t>Décision sur la ration</t>
  </si>
  <si>
    <t>Perd</t>
  </si>
  <si>
    <t>Stable</t>
  </si>
  <si>
    <t>Prend</t>
  </si>
  <si>
    <t>Rustique (campagnard)</t>
  </si>
  <si>
    <t>Score “type de cheval” :</t>
  </si>
  <si>
    <t>Score “niveau de travail” :</t>
  </si>
  <si>
    <t>Score “NEC (note état corporel)”:</t>
  </si>
  <si>
    <t>CALCUL &amp; RÉSULTAT:</t>
  </si>
  <si>
    <t>ENTRÉES CHEVAL:</t>
  </si>
  <si>
    <t>Mini OAD – Ajustement simplifié de la ration d’un cheval en 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</si>
</sst>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</cellXfs>
  <cellStyles count="1">
    <cellStyle name="Normal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D1A01-7F96-48D5-BF3C-DFA247F1ACF1}">
  <dimension ref="A1:C18"/>
  <sheetViews>
    <sheetView tabSelected="1" workbookViewId="0">
      <selection activeCell="F11" sqref="F11"/>
    </sheetView>
  </sheetViews>
  <sheetFormatPr baseColWidth="10" defaultRowHeight="15" x14ac:dyDescent="0.25"/>
  <cols>
    <col min="1" max="1" width="29.28515625" bestFit="1" customWidth="1"/>
    <col min="2" max="2" width="21.7109375" bestFit="1" customWidth="1"/>
  </cols>
  <sheetData>
    <row r="1" spans="1:3" x14ac:dyDescent="0.25">
      <c r="A1" s="2" t="s">
        <v>34</v>
      </c>
      <c r="B1" s="2"/>
      <c r="C1" s="2"/>
    </row>
    <row r="2" spans="1:3" x14ac:dyDescent="0.25">
      <c r="A2" s="1"/>
      <c r="B2" s="1"/>
      <c r="C2" s="1"/>
    </row>
    <row r="3" spans="1:3" x14ac:dyDescent="0.25">
      <c r="A3" s="4" t="s">
        <v>33</v>
      </c>
      <c r="B3" s="4"/>
    </row>
    <row r="4" spans="1:3" x14ac:dyDescent="0.25">
      <c r="A4" s="3" t="s">
        <v>0</v>
      </c>
      <c r="B4" s="11"/>
    </row>
    <row r="5" spans="1:3" x14ac:dyDescent="0.25">
      <c r="A5" s="3" t="s">
        <v>1</v>
      </c>
      <c r="B5" s="11"/>
    </row>
    <row r="6" spans="1:3" x14ac:dyDescent="0.25">
      <c r="A6" s="3" t="s">
        <v>2</v>
      </c>
      <c r="B6" s="11"/>
    </row>
    <row r="7" spans="1:3" x14ac:dyDescent="0.25">
      <c r="A7" s="3" t="s">
        <v>3</v>
      </c>
      <c r="B7" s="11"/>
    </row>
    <row r="8" spans="1:3" x14ac:dyDescent="0.25">
      <c r="A8" s="3" t="s">
        <v>4</v>
      </c>
      <c r="B8" s="11"/>
    </row>
    <row r="9" spans="1:3" x14ac:dyDescent="0.25">
      <c r="A9" s="5"/>
      <c r="B9" s="5"/>
    </row>
    <row r="10" spans="1:3" x14ac:dyDescent="0.25">
      <c r="A10" s="4" t="s">
        <v>32</v>
      </c>
      <c r="B10" s="4"/>
    </row>
    <row r="11" spans="1:3" x14ac:dyDescent="0.25">
      <c r="A11" s="3" t="s">
        <v>17</v>
      </c>
      <c r="B11" s="3" t="e">
        <f>VLOOKUP(B5,OAD_listes!A3:B5,2,FALSE)</f>
        <v>#N/A</v>
      </c>
    </row>
    <row r="12" spans="1:3" x14ac:dyDescent="0.25">
      <c r="A12" s="3" t="s">
        <v>18</v>
      </c>
      <c r="B12" s="3" t="e">
        <f>VLOOKUP(B6,OAD_listes!D3:E6,2,FALSE)</f>
        <v>#N/A</v>
      </c>
    </row>
    <row r="13" spans="1:3" x14ac:dyDescent="0.25">
      <c r="A13" s="3" t="s">
        <v>19</v>
      </c>
      <c r="B13" s="3" t="e">
        <f>VLOOKUP(B7,OAD_listes!G3:H5,2,FALSE)</f>
        <v>#N/A</v>
      </c>
    </row>
    <row r="14" spans="1:3" x14ac:dyDescent="0.25">
      <c r="A14" s="3" t="s">
        <v>20</v>
      </c>
      <c r="B14" s="3">
        <f>IF(B8="Perd",2,IF(B8="Prend",-2,0))</f>
        <v>0</v>
      </c>
    </row>
    <row r="15" spans="1:3" x14ac:dyDescent="0.25">
      <c r="A15" s="3" t="s">
        <v>21</v>
      </c>
      <c r="B15" s="3" t="e">
        <f>SUM(B11:B14)</f>
        <v>#N/A</v>
      </c>
    </row>
    <row r="16" spans="1:3" x14ac:dyDescent="0.25">
      <c r="A16" s="3" t="s">
        <v>22</v>
      </c>
      <c r="B16" s="3">
        <v>3</v>
      </c>
    </row>
    <row r="17" spans="1:2" x14ac:dyDescent="0.25">
      <c r="A17" s="3" t="s">
        <v>23</v>
      </c>
      <c r="B17" s="3">
        <v>-3</v>
      </c>
    </row>
    <row r="18" spans="1:2" x14ac:dyDescent="0.25">
      <c r="A18" s="3" t="s">
        <v>24</v>
      </c>
      <c r="B18" s="3" t="e">
        <f>IF(B15&gt;=B16,"Augmenter la ration",IF(B15&lt;=B17,"Réduire la ration","Ration OK"))</f>
        <v>#N/A</v>
      </c>
    </row>
  </sheetData>
  <mergeCells count="3">
    <mergeCell ref="A3:B3"/>
    <mergeCell ref="A10:B10"/>
    <mergeCell ref="A1:C1"/>
  </mergeCells>
  <conditionalFormatting sqref="B18">
    <cfRule type="containsText" dxfId="0" priority="1" operator="containsText" text="Augmenter la ration">
      <formula>NOT(ISERROR(SEARCH("Augmenter la ration",B18)))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4A86ACC-B10F-48D4-A964-62178319D308}">
          <x14:formula1>
            <xm:f>OAD_listes!$A$3:$A$5</xm:f>
          </x14:formula1>
          <xm:sqref>B5</xm:sqref>
        </x14:dataValidation>
        <x14:dataValidation type="list" allowBlank="1" showInputMessage="1" showErrorMessage="1" xr:uid="{6E0AF25C-1370-479C-922F-615EFD40CBD2}">
          <x14:formula1>
            <xm:f>OAD_listes!$D$3:$D$6</xm:f>
          </x14:formula1>
          <xm:sqref>B6</xm:sqref>
        </x14:dataValidation>
        <x14:dataValidation type="list" allowBlank="1" showInputMessage="1" showErrorMessage="1" xr:uid="{35032ABD-1CE6-4FA6-B441-BD384D5BE120}">
          <x14:formula1>
            <xm:f>OAD_listes!$G$3:$G$5</xm:f>
          </x14:formula1>
          <xm:sqref>B7</xm:sqref>
        </x14:dataValidation>
        <x14:dataValidation type="list" allowBlank="1" showInputMessage="1" showErrorMessage="1" xr:uid="{C3B20855-BE1E-411E-BEF7-B8059B430F63}">
          <x14:formula1>
            <xm:f>OAD_listes!$J$2:$J$4</xm:f>
          </x14:formula1>
          <xm:sqref>B8:B9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587B-8D5A-4B4B-8D0E-D7FA125E689D}">
  <dimension ref="A1:J6"/>
  <sheetViews>
    <sheetView workbookViewId="0">
      <selection activeCell="F8" sqref="F8"/>
    </sheetView>
  </sheetViews>
  <sheetFormatPr baseColWidth="10" defaultRowHeight="15" x14ac:dyDescent="0.25"/>
  <cols>
    <col min="1" max="1" width="21.7109375" bestFit="1" customWidth="1"/>
    <col min="5" max="5" width="13.7109375" customWidth="1"/>
    <col min="7" max="7" width="18.42578125" bestFit="1" customWidth="1"/>
    <col min="10" max="10" width="16.85546875" bestFit="1" customWidth="1"/>
  </cols>
  <sheetData>
    <row r="1" spans="1:10" x14ac:dyDescent="0.25">
      <c r="A1" s="7" t="s">
        <v>29</v>
      </c>
      <c r="B1" s="7"/>
      <c r="D1" s="8" t="s">
        <v>30</v>
      </c>
      <c r="E1" s="9"/>
      <c r="G1" s="8" t="s">
        <v>31</v>
      </c>
      <c r="H1" s="9"/>
      <c r="J1" s="10" t="s">
        <v>4</v>
      </c>
    </row>
    <row r="2" spans="1:10" x14ac:dyDescent="0.25">
      <c r="A2" s="6" t="s">
        <v>1</v>
      </c>
      <c r="B2" s="6" t="s">
        <v>5</v>
      </c>
      <c r="D2" s="6" t="s">
        <v>8</v>
      </c>
      <c r="E2" s="6" t="s">
        <v>5</v>
      </c>
      <c r="G2" s="6" t="s">
        <v>13</v>
      </c>
      <c r="H2" s="6" t="s">
        <v>5</v>
      </c>
      <c r="J2" s="3" t="s">
        <v>25</v>
      </c>
    </row>
    <row r="3" spans="1:10" x14ac:dyDescent="0.25">
      <c r="A3" s="3" t="s">
        <v>28</v>
      </c>
      <c r="B3" s="3">
        <v>-1</v>
      </c>
      <c r="D3" s="3" t="s">
        <v>9</v>
      </c>
      <c r="E3" s="3">
        <v>-1</v>
      </c>
      <c r="G3" s="3" t="s">
        <v>14</v>
      </c>
      <c r="H3" s="3">
        <v>2</v>
      </c>
      <c r="J3" s="3" t="s">
        <v>26</v>
      </c>
    </row>
    <row r="4" spans="1:10" x14ac:dyDescent="0.25">
      <c r="A4" s="3" t="s">
        <v>6</v>
      </c>
      <c r="B4" s="3">
        <v>0</v>
      </c>
      <c r="D4" s="3" t="s">
        <v>10</v>
      </c>
      <c r="E4" s="3">
        <v>0</v>
      </c>
      <c r="G4" s="3" t="s">
        <v>15</v>
      </c>
      <c r="H4" s="3">
        <v>0</v>
      </c>
      <c r="J4" s="3" t="s">
        <v>27</v>
      </c>
    </row>
    <row r="5" spans="1:10" x14ac:dyDescent="0.25">
      <c r="A5" s="3" t="s">
        <v>7</v>
      </c>
      <c r="B5" s="3">
        <v>1</v>
      </c>
      <c r="D5" s="3" t="s">
        <v>11</v>
      </c>
      <c r="E5" s="3">
        <v>1</v>
      </c>
      <c r="G5" s="3" t="s">
        <v>16</v>
      </c>
      <c r="H5" s="3">
        <v>-2</v>
      </c>
    </row>
    <row r="6" spans="1:10" x14ac:dyDescent="0.25">
      <c r="D6" s="3" t="s">
        <v>12</v>
      </c>
      <c r="E6" s="3">
        <v>2</v>
      </c>
    </row>
  </sheetData>
  <mergeCells count="3">
    <mergeCell ref="A1:B1"/>
    <mergeCell ref="D1:E1"/>
    <mergeCell ref="G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OAD_Ration_Cheval</vt:lpstr>
      <vt:lpstr>OAD_listes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tifaine secheret</dc:creator>
  <cp:lastModifiedBy>tifaine secheret</cp:lastModifiedBy>
  <dcterms:created xsi:type="dcterms:W3CDTF">2026-01-10T08:16:50Z</dcterms:created>
  <dcterms:modified xsi:type="dcterms:W3CDTF">2026-01-10T11:34:14Z</dcterms:modified>
</cp:coreProperties>
</file>